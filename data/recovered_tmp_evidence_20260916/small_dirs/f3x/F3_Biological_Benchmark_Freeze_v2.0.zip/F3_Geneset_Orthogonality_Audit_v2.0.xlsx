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f02b7a7cf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wise_Primary" sheetId="1" r:id="Rce1b2ba2c3a34760"/>
    <x:sheet xmlns:r="http://schemas.openxmlformats.org/officeDocument/2006/relationships" name="Boundary_Rules" sheetId="2" r:id="R8817a584ba7f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2d5f3c1974523" /><Relationship Type="http://schemas.openxmlformats.org/officeDocument/2006/relationships/theme" Target="/xl/theme/theme1.xml" Id="R36e86e7148234f8a" /><Relationship Type="http://schemas.openxmlformats.org/officeDocument/2006/relationships/sharedStrings" Target="/xl/sharedStrings.xml" Id="R626b801e4cc94f59" /><Relationship Type="http://schemas.openxmlformats.org/officeDocument/2006/relationships/worksheet" Target="/xl/worksheets/sheet1.xml" Id="Rce1b2ba2c3a34760" /><Relationship Type="http://schemas.openxmlformats.org/officeDocument/2006/relationships/worksheet" Target="/xl/worksheets/sheet2.xml" Id="R8817a584ba7f41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4" hidden="0" customWidth="1"/>
    <x:col min="9" max="9" width="18" hidden="0" customWidth="1"/>
    <x:col min="10" max="10" width="62" hidden="0" customWidth="1"/>
    <x:col min="11" max="11" width="58" hidden="0" customWidth="1"/>
  </x:cols>
  <x:sheetData>
    <x:row r="1" ht="30" customHeight="1">
      <x:c r="A1" s="6" t="str">
        <x:v>Set A</x:v>
      </x:c>
      <x:c r="B1" s="6" t="str">
        <x:v>Domain A</x:v>
      </x:c>
      <x:c r="C1" s="6" t="str">
        <x:v>Set B</x:v>
      </x:c>
      <x:c r="D1" s="6" t="str">
        <x:v>Domain B</x:v>
      </x:c>
      <x:c r="E1" s="6" t="str">
        <x:v>N A</x:v>
      </x:c>
      <x:c r="F1" s="6" t="str">
        <x:v>N B</x:v>
      </x:c>
      <x:c r="G1" s="6" t="str">
        <x:v>Shared N</x:v>
      </x:c>
      <x:c r="H1" s="6" t="str">
        <x:v>Jaccard</x:v>
      </x:c>
      <x:c r="I1" s="6" t="str">
        <x:v>Overlap coefficient</x:v>
      </x:c>
      <x:c r="J1" s="6" t="str">
        <x:v>Shared genes</x:v>
      </x:c>
      <x:c r="K1" s="6" t="str">
        <x:v>Decision</x:v>
      </x:c>
    </x:row>
    <x:row r="2" ht="48" customHeight="1">
      <x:c r="A2" s="3" t="str">
        <x:v>P_D1_IFNA97</x:v>
      </x:c>
      <x:c r="B2" s="3" t="str">
        <x:v>D1</x:v>
      </x:c>
      <x:c r="C2" s="3" t="str">
        <x:v>P_D2A_DN2_8</x:v>
      </x:c>
      <x:c r="D2" s="3" t="str">
        <x:v>D2a</x:v>
      </x:c>
      <x:c r="E2" s="3" t="n">
        <x:v>97</x:v>
      </x:c>
      <x:c r="F2" s="3" t="n">
        <x:v>8</x:v>
      </x:c>
      <x:c r="G2" s="3" t="n">
        <x:v>0</x:v>
      </x:c>
      <x:c r="H2" s="3" t="n">
        <x:f>G2/(E2+F2-G2)</x:f>
        <x:v>0</x:v>
      </x:c>
      <x:c r="I2" s="3" t="n">
        <x:f>G2/MIN(E2,F2)</x:f>
        <x:v>0</x:v>
      </x:c>
      <x:c r="J2" s="3" t="str">
        <x:v>None</x:v>
      </x:c>
      <x:c r="K2" s="3" t="str">
        <x:v>Pass</x:v>
      </x:c>
    </x:row>
    <x:row r="3" ht="48" customHeight="1">
      <x:c r="A3" s="3" t="str">
        <x:v>P_D1_IFNA97</x:v>
      </x:c>
      <x:c r="B3" s="3" t="str">
        <x:v>D1</x:v>
      </x:c>
      <x:c r="C3" s="3" t="str">
        <x:v>P_D2B_M411_6</x:v>
      </x:c>
      <x:c r="D3" s="3" t="str">
        <x:v>D2b</x:v>
      </x:c>
      <x:c r="E3" s="3" t="n">
        <x:v>97</x:v>
      </x:c>
      <x:c r="F3" s="3" t="n">
        <x:v>6</x:v>
      </x:c>
      <x:c r="G3" s="3" t="n">
        <x:v>0</x:v>
      </x:c>
      <x:c r="H3" s="3" t="n">
        <x:f>G3/(E3+F3-G3)</x:f>
        <x:v>0</x:v>
      </x:c>
      <x:c r="I3" s="3" t="n">
        <x:f>G3/MIN(E3,F3)</x:f>
        <x:v>0</x:v>
      </x:c>
      <x:c r="J3" s="3" t="str">
        <x:v>None</x:v>
      </x:c>
      <x:c r="K3" s="3" t="str">
        <x:v>Pass</x:v>
      </x:c>
    </x:row>
    <x:row r="4" ht="48" customHeight="1">
      <x:c r="A4" s="3" t="str">
        <x:v>P_D1_IFNA97</x:v>
      </x:c>
      <x:c r="B4" s="3" t="str">
        <x:v>D1</x:v>
      </x:c>
      <x:c r="C4" s="3" t="str">
        <x:v>P_D3_TNFA_NFKB200</x:v>
      </x:c>
      <x:c r="D4" s="3" t="str">
        <x:v>D3</x:v>
      </x:c>
      <x:c r="E4" s="3" t="n">
        <x:v>97</x:v>
      </x:c>
      <x:c r="F4" s="3" t="n">
        <x:v>200</x:v>
      </x:c>
      <x:c r="G4" s="3" t="n">
        <x:v>9</x:v>
      </x:c>
      <x:c r="H4" s="3" t="n">
        <x:f>G4/(E4+F4-G4)</x:f>
        <x:v>0.03125</x:v>
      </x:c>
      <x:c r="I4" s="3" t="n">
        <x:f>G4/MIN(E4,F4)</x:f>
        <x:v>0.09278350515463918</x:v>
      </x:c>
      <x:c r="J4" s="3" t="str">
        <x:v>CCRL2, CSF1, CXCL10, CXCL11, IFIH1, IFIT2, IRF1, RIPK2, TAP1</x:v>
      </x:c>
      <x:c r="K4" s="3" t="str">
        <x:v>Expected low overlap; keep raw sets and run fold-contained residual sensitivity</x:v>
      </x:c>
    </x:row>
    <x:row r="5" ht="48" customHeight="1">
      <x:c r="A5" s="3" t="str">
        <x:v>P_D1_IFNA97</x:v>
      </x:c>
      <x:c r="B5" s="3" t="str">
        <x:v>D1</x:v>
      </x:c>
      <x:c r="C5" s="3" t="str">
        <x:v>P_D4_XIONG_CYTO8</x:v>
      </x:c>
      <x:c r="D5" s="3" t="str">
        <x:v>D4</x:v>
      </x:c>
      <x:c r="E5" s="3" t="n">
        <x:v>97</x:v>
      </x:c>
      <x:c r="F5" s="3" t="n">
        <x:v>8</x:v>
      </x:c>
      <x:c r="G5" s="3" t="n">
        <x:v>0</x:v>
      </x:c>
      <x:c r="H5" s="3" t="n">
        <x:f>G5/(E5+F5-G5)</x:f>
        <x:v>0</x:v>
      </x:c>
      <x:c r="I5" s="3" t="n">
        <x:f>G5/MIN(E5,F5)</x:f>
        <x:v>0</x:v>
      </x:c>
      <x:c r="J5" s="3" t="str">
        <x:v>None</x:v>
      </x:c>
      <x:c r="K5" s="3" t="str">
        <x:v>Pass</x:v>
      </x:c>
    </x:row>
    <x:row r="6" ht="48" customHeight="1">
      <x:c r="A6" s="3" t="str">
        <x:v>P_D2A_DN2_8</x:v>
      </x:c>
      <x:c r="B6" s="3" t="str">
        <x:v>D2a</x:v>
      </x:c>
      <x:c r="C6" s="3" t="str">
        <x:v>P_D2B_M411_6</x:v>
      </x:c>
      <x:c r="D6" s="3" t="str">
        <x:v>D2b</x:v>
      </x:c>
      <x:c r="E6" s="3" t="n">
        <x:v>8</x:v>
      </x:c>
      <x:c r="F6" s="3" t="n">
        <x:v>6</x:v>
      </x:c>
      <x:c r="G6" s="3" t="n">
        <x:v>0</x:v>
      </x:c>
      <x:c r="H6" s="3" t="n">
        <x:f>G6/(E6+F6-G6)</x:f>
        <x:v>0</x:v>
      </x:c>
      <x:c r="I6" s="3" t="n">
        <x:f>G6/MIN(E6,F6)</x:f>
        <x:v>0</x:v>
      </x:c>
      <x:c r="J6" s="3" t="str">
        <x:v>None</x:v>
      </x:c>
      <x:c r="K6" s="3" t="str">
        <x:v>Pass</x:v>
      </x:c>
    </x:row>
    <x:row r="7" ht="48" customHeight="1">
      <x:c r="A7" s="3" t="str">
        <x:v>P_D2A_DN2_8</x:v>
      </x:c>
      <x:c r="B7" s="3" t="str">
        <x:v>D2a</x:v>
      </x:c>
      <x:c r="C7" s="3" t="str">
        <x:v>P_D3_TNFA_NFKB200</x:v>
      </x:c>
      <x:c r="D7" s="3" t="str">
        <x:v>D3</x:v>
      </x:c>
      <x:c r="E7" s="3" t="n">
        <x:v>8</x:v>
      </x:c>
      <x:c r="F7" s="3" t="n">
        <x:v>200</x:v>
      </x:c>
      <x:c r="G7" s="3" t="n">
        <x:v>0</x:v>
      </x:c>
      <x:c r="H7" s="3" t="n">
        <x:f>G7/(E7+F7-G7)</x:f>
        <x:v>0</x:v>
      </x:c>
      <x:c r="I7" s="3" t="n">
        <x:f>G7/MIN(E7,F7)</x:f>
        <x:v>0</x:v>
      </x:c>
      <x:c r="J7" s="3" t="str">
        <x:v>None</x:v>
      </x:c>
      <x:c r="K7" s="3" t="str">
        <x:v>Pass</x:v>
      </x:c>
    </x:row>
    <x:row r="8" ht="48" customHeight="1">
      <x:c r="A8" s="3" t="str">
        <x:v>P_D2A_DN2_8</x:v>
      </x:c>
      <x:c r="B8" s="3" t="str">
        <x:v>D2a</x:v>
      </x:c>
      <x:c r="C8" s="3" t="str">
        <x:v>P_D4_XIONG_CYTO8</x:v>
      </x:c>
      <x:c r="D8" s="3" t="str">
        <x:v>D4</x:v>
      </x:c>
      <x:c r="E8" s="3" t="n">
        <x:v>8</x:v>
      </x:c>
      <x:c r="F8" s="3" t="n">
        <x:v>8</x:v>
      </x:c>
      <x:c r="G8" s="3" t="n">
        <x:v>0</x:v>
      </x:c>
      <x:c r="H8" s="3" t="n">
        <x:f>G8/(E8+F8-G8)</x:f>
        <x:v>0</x:v>
      </x:c>
      <x:c r="I8" s="3" t="n">
        <x:f>G8/MIN(E8,F8)</x:f>
        <x:v>0</x:v>
      </x:c>
      <x:c r="J8" s="3" t="str">
        <x:v>None</x:v>
      </x:c>
      <x:c r="K8" s="3" t="str">
        <x:v>Pass</x:v>
      </x:c>
    </x:row>
    <x:row r="9" ht="48" customHeight="1">
      <x:c r="A9" s="3" t="str">
        <x:v>P_D2B_M411_6</x:v>
      </x:c>
      <x:c r="B9" s="3" t="str">
        <x:v>D2b</x:v>
      </x:c>
      <x:c r="C9" s="3" t="str">
        <x:v>P_D3_TNFA_NFKB200</x:v>
      </x:c>
      <x:c r="D9" s="3" t="str">
        <x:v>D3</x:v>
      </x:c>
      <x:c r="E9" s="3" t="n">
        <x:v>6</x:v>
      </x:c>
      <x:c r="F9" s="3" t="n">
        <x:v>200</x:v>
      </x:c>
      <x:c r="G9" s="3" t="n">
        <x:v>0</x:v>
      </x:c>
      <x:c r="H9" s="3" t="n">
        <x:f>G9/(E9+F9-G9)</x:f>
        <x:v>0</x:v>
      </x:c>
      <x:c r="I9" s="3" t="n">
        <x:f>G9/MIN(E9,F9)</x:f>
        <x:v>0</x:v>
      </x:c>
      <x:c r="J9" s="3" t="str">
        <x:v>None</x:v>
      </x:c>
      <x:c r="K9" s="3" t="str">
        <x:v>Pass</x:v>
      </x:c>
    </x:row>
    <x:row r="10" ht="48" customHeight="1">
      <x:c r="A10" s="3" t="str">
        <x:v>P_D2B_M411_6</x:v>
      </x:c>
      <x:c r="B10" s="3" t="str">
        <x:v>D2b</x:v>
      </x:c>
      <x:c r="C10" s="3" t="str">
        <x:v>P_D4_XIONG_CYTO8</x:v>
      </x:c>
      <x:c r="D10" s="3" t="str">
        <x:v>D4</x:v>
      </x:c>
      <x:c r="E10" s="3" t="n">
        <x:v>6</x:v>
      </x:c>
      <x:c r="F10" s="3" t="n">
        <x:v>8</x:v>
      </x:c>
      <x:c r="G10" s="3" t="n">
        <x:v>0</x:v>
      </x:c>
      <x:c r="H10" s="3" t="n">
        <x:f>G10/(E10+F10-G10)</x:f>
        <x:v>0</x:v>
      </x:c>
      <x:c r="I10" s="3" t="n">
        <x:f>G10/MIN(E10,F10)</x:f>
        <x:v>0</x:v>
      </x:c>
      <x:c r="J10" s="3" t="str">
        <x:v>None</x:v>
      </x:c>
      <x:c r="K10" s="3" t="str">
        <x:v>Pass</x:v>
      </x:c>
    </x:row>
    <x:row r="11" ht="48" customHeight="1">
      <x:c r="A11" s="3" t="str">
        <x:v>P_D3_TNFA_NFKB200</x:v>
      </x:c>
      <x:c r="B11" s="3" t="str">
        <x:v>D3</x:v>
      </x:c>
      <x:c r="C11" s="3" t="str">
        <x:v>P_D4_XIONG_CYTO8</x:v>
      </x:c>
      <x:c r="D11" s="3" t="str">
        <x:v>D4</x:v>
      </x:c>
      <x:c r="E11" s="3" t="n">
        <x:v>200</x:v>
      </x:c>
      <x:c r="F11" s="3" t="n">
        <x:v>8</x:v>
      </x:c>
      <x:c r="G11" s="3" t="n">
        <x:v>0</x:v>
      </x:c>
      <x:c r="H11" s="3" t="n">
        <x:f>G11/(E11+F11-G11)</x:f>
        <x:v>0</x:v>
      </x:c>
      <x:c r="I11" s="3" t="n">
        <x:f>G11/MIN(E11,F11)</x:f>
        <x:v>0</x:v>
      </x:c>
      <x:c r="J11" s="3" t="str">
        <x:v>None</x:v>
      </x:c>
      <x:c r="K11" s="3" t="str">
        <x:v>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62" hidden="0" customWidth="1"/>
  </x:cols>
  <x:sheetData>
    <x:row r="1" ht="30" customHeight="1">
      <x:c r="A1" s="6" t="str">
        <x:v>Boundary</x:v>
      </x:c>
      <x:c r="B1" s="6" t="str">
        <x:v>Frozen action</x:v>
      </x:c>
      <x:c r="C1" s="6" t="str">
        <x:v>Reason</x:v>
      </x:c>
    </x:row>
    <x:row r="2" ht="56" customHeight="1">
      <x:c r="A2" s="3" t="str">
        <x:v>D1 vs D3</x:v>
      </x:c>
      <x:c r="B2" s="3" t="str">
        <x:v>Keep original memberships; quantify nine-gene overlap; raw D3 primary and fold-contained D1 residual sensitivity</x:v>
      </x:c>
      <x:c r="C2" s="3" t="str">
        <x:v>Avoid circular gene deletion while testing non-IFN robustness</x:v>
      </x:c>
    </x:row>
    <x:row r="3" ht="56" customHeight="1">
      <x:c r="A3" s="3" t="str">
        <x:v>D2a vs D2b</x:v>
      </x:c>
      <x:c r="B3" s="3" t="str">
        <x:v>Report separately; no averaging</x:v>
      </x:c>
      <x:c r="C3" s="3" t="str">
        <x:v>Activation and ASC differentiation are ordered but non-equivalent states</x:v>
      </x:c>
    </x:row>
    <x:row r="4" ht="56" customHeight="1">
      <x:c r="A4" s="3" t="str">
        <x:v>D4 vs NK</x:v>
      </x:c>
      <x:c r="B4" s="3" t="str">
        <x:v>CD8 is primary; NK separate sensitivity</x:v>
      </x:c>
      <x:c r="C4" s="3" t="str">
        <x:v>Cytotoxic machinery is shared across lineages</x:v>
      </x:c>
    </x:row>
    <x:row r="5" ht="56" customHeight="1">
      <x:c r="A5" s="3" t="str">
        <x:v>GZMK/GZMH</x:v>
      </x:c>
      <x:c r="B5" s="3" t="str">
        <x:v>Context/decomposition only</x:v>
      </x:c>
      <x:c r="C5" s="3" t="str">
        <x:v>Do not let named clusters define the cytotoxic PAS</x:v>
      </x:c>
    </x:row>
  </x:sheetData>
  <x:pageMargins left="0.7" right="0.7" top="0.75" bottom="0.75" header="0.3" footer="0.3"/>
</x:worksheet>
</file>